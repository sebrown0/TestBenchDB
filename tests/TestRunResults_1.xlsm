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490" yWindow="1170" windowWidth="33190" windowHeight="16390"/>
  </bookViews>
  <sheets>
    <sheet name="Sheet1" sheetId="1" r:id="rId1"/>
    <sheet name="Sheet3" sheetId="3" r:id="rId2"/>
  </sheets>
  <calcPr calcId="144525"/>
</workbook>
</file>

<file path=xl/calcChain.xml><?xml version="1.0" encoding="utf-8"?>
<calcChain xmlns="http://schemas.openxmlformats.org/spreadsheetml/2006/main">
  <c r="L6" i="1" l="1"/>
  <c r="I6" i="1"/>
  <c r="A1" i="1"/>
</calcChain>
</file>

<file path=xl/sharedStrings.xml><?xml version="1.0" encoding="utf-8"?>
<sst xmlns="http://schemas.openxmlformats.org/spreadsheetml/2006/main" count="221" uniqueCount="97">
  <si>
    <t>Test</t>
  </si>
  <si>
    <t>Result</t>
  </si>
  <si>
    <t>Comments</t>
  </si>
  <si>
    <t>Failed</t>
  </si>
  <si>
    <t>Passed</t>
  </si>
  <si>
    <t>Ignored</t>
  </si>
  <si>
    <t xml:space="preserve"> Test the the top right nav bar and the top level of its children </t>
  </si>
  <si>
    <t xml:space="preserve"> 2021-05-26 17:38:15</t>
  </si>
  <si>
    <t xml:space="preserve"> Employee Creation Wizard failed</t>
  </si>
  <si>
    <t>Top Right Nav Bar (All)</t>
  </si>
  <si>
    <t>Test Run ID</t>
  </si>
  <si>
    <t xml:space="preserve"> Test Run Name</t>
  </si>
  <si>
    <t xml:space="preserve"> Comments</t>
  </si>
  <si>
    <t xml:space="preserve"> Run By</t>
  </si>
  <si>
    <t xml:space="preserve"> Run On</t>
  </si>
  <si>
    <t xml:space="preserve"> Result comments</t>
  </si>
  <si>
    <t>SB_1</t>
  </si>
  <si>
    <t>Test Run Pass</t>
  </si>
  <si>
    <t>Fail</t>
  </si>
  <si>
    <t>Highest Fail 
Severity</t>
  </si>
  <si>
    <t>Home Page Top Right Nav Bar</t>
  </si>
  <si>
    <t>Employee Creation Wizard</t>
  </si>
  <si>
    <t>Employee CV</t>
  </si>
  <si>
    <t>Employee Creation Wizard - Step 1</t>
  </si>
  <si>
    <t>Employee Creation Wizard - Step 2</t>
  </si>
  <si>
    <t>Employee Creation Wizard - Step 3</t>
  </si>
  <si>
    <t>Employee Creation Wizard - Step 4</t>
  </si>
  <si>
    <t>Employee Creation Wizard - Step 5</t>
  </si>
  <si>
    <t>Employee - Label</t>
  </si>
  <si>
    <t>Annual Salary</t>
  </si>
  <si>
    <t>Hourly Rate</t>
  </si>
  <si>
    <t>Qualfied
Passes</t>
  </si>
  <si>
    <t xml:space="preserve"> 2021-05-26</t>
  </si>
  <si>
    <t xml:space="preserve"> 16:14:32</t>
  </si>
  <si>
    <t xml:space="preserve"> 2021-05-26 17:38:13</t>
  </si>
  <si>
    <t xml:space="preserve"> Fail</t>
  </si>
  <si>
    <t xml:space="preserve"> 16:00:59</t>
  </si>
  <si>
    <t xml:space="preserve"> 16:02:09</t>
  </si>
  <si>
    <t xml:space="preserve"> 2021-05-26 17:38:14</t>
  </si>
  <si>
    <t xml:space="preserve"> 16:09:03</t>
  </si>
  <si>
    <t xml:space="preserve"> 16:10:39</t>
  </si>
  <si>
    <t xml:space="preserve"> 15:56:04</t>
  </si>
  <si>
    <t xml:space="preserve"> 16:24:19</t>
  </si>
  <si>
    <t xml:space="preserve"> 16:23:29</t>
  </si>
  <si>
    <t xml:space="preserve"> 16:20:21</t>
  </si>
  <si>
    <t>Test Suite</t>
  </si>
  <si>
    <t>Last Run Date</t>
  </si>
  <si>
    <t>Last Run Time</t>
  </si>
  <si>
    <t>Result ID</t>
  </si>
  <si>
    <t>Result Timestamp</t>
  </si>
  <si>
    <t>Fail Severity</t>
  </si>
  <si>
    <t>Test ID</t>
  </si>
  <si>
    <t>Entered various invalid data and wizard crashed with [$G POINT_IN_TIME.DATE TEXT$G POINT_IN_TIME.DATE TEXT$G POINT_IN_TIME.DATE TEXT$G POINT_IN_TIME.DATE TEXT$G POINT_IN_TIME.DATE TEXT$G POINT_IN_TIME.DATE TEXT$G POINT_IN_TIME.DATE TEXT$G POINT_IN_TIME.DATE TEXT$G DAKINET_AUTOMATION_DSYNC HANDLE$G  line 410. Non-numeric data when numeric required. Zero used.] DAKINET_AUTOMATION_DSYNC HANDLE$G DAKINET_AUTOMATION_DSYNC HANDLEENG0016: WIZARD_EMPLOYEE_CREATION</t>
  </si>
  <si>
    <t>Test Case Summary - Failed Tests</t>
  </si>
  <si>
    <t>Employee Creation Wizard Form</t>
  </si>
  <si>
    <t>Create Employee Button</t>
  </si>
  <si>
    <t>Employee CV Form</t>
  </si>
  <si>
    <t>Test Case Summary - Qualified Passes</t>
  </si>
  <si>
    <t>Home Page</t>
  </si>
  <si>
    <t xml:space="preserve"> NULL</t>
  </si>
  <si>
    <t xml:space="preserve"> Top Level of: Home Page Top Right Nav Bar</t>
  </si>
  <si>
    <t xml:space="preserve"> 17:38:12</t>
  </si>
  <si>
    <t xml:space="preserve"> QP</t>
  </si>
  <si>
    <t xml:space="preserve"> Top Level of: Employee Creation Wizard - Step 1</t>
  </si>
  <si>
    <t xml:space="preserve"> Identity Card Number</t>
  </si>
  <si>
    <t xml:space="preserve"> Employee Code</t>
  </si>
  <si>
    <t xml:space="preserve"> Top Level of: Employee Creation Wizard - Step 2</t>
  </si>
  <si>
    <t xml:space="preserve"> Date Of Birth</t>
  </si>
  <si>
    <t xml:space="preserve"> Tax Number</t>
  </si>
  <si>
    <t xml:space="preserve"> NI Number</t>
  </si>
  <si>
    <t xml:space="preserve"> Email Address</t>
  </si>
  <si>
    <t xml:space="preserve"> Top Level of: Employee Creation Wizard - Step 3</t>
  </si>
  <si>
    <t xml:space="preserve"> Top Level of: Employee Creation Wizard - Step 4</t>
  </si>
  <si>
    <t xml:space="preserve"> Allowance Amount - Permanent</t>
  </si>
  <si>
    <t xml:space="preserve"> Paygroup - List</t>
  </si>
  <si>
    <t>Child had failure: Employee Creation Wizard failed</t>
  </si>
  <si>
    <t>Child has qualified pass</t>
  </si>
  <si>
    <t>Should be basic validity check on id card num</t>
  </si>
  <si>
    <t>Should be basic validity check on emp code. Entered [23 3] and was allowed to move to next step.</t>
  </si>
  <si>
    <t>Should be basic validity check on DOB. Entered [29/09/2000] and was allowed to move to next step. Can someone who is less the one be an employee?</t>
  </si>
  <si>
    <t>Should be basic validity check on tax num. Entered [qw121s] and was allowed to move to next step. Is this a valid tax num?</t>
  </si>
  <si>
    <t>Should be basic validity check on NI num. Entered [qw] and was allowed to move to next step. Is this a valid Ni num?</t>
  </si>
  <si>
    <t xml:space="preserve">Should be basic validity check on email. Entered [e/mail] and was allowed to move to next step. </t>
  </si>
  <si>
    <t>Entered a car cash allowance [q2] and was allowed to move to next step.</t>
  </si>
  <si>
    <t>Entered a Covid allowance [none] and was allowed to move to next step.</t>
  </si>
  <si>
    <t>Entered invalid value and was allowed to move to the next step</t>
  </si>
  <si>
    <t>Only one paygroup available [Monthly Paygroup]</t>
  </si>
  <si>
    <t xml:space="preserve"> Select A Paygroup</t>
  </si>
  <si>
    <t xml:space="preserve"> 15:25:02</t>
  </si>
  <si>
    <t xml:space="preserve"> Only one paygroup available [Monthly Paygroup]. Where are the others?</t>
  </si>
  <si>
    <t>Child failed</t>
  </si>
  <si>
    <t>Wizard crashed because of invalid data</t>
  </si>
  <si>
    <t>Should not be allowed to enter non-numeric of invalid value</t>
  </si>
  <si>
    <r>
      <t>Label should be [</t>
    </r>
    <r>
      <rPr>
        <b/>
        <sz val="11"/>
        <color theme="1"/>
        <rFont val="Calibri"/>
        <family val="2"/>
        <scheme val="minor"/>
      </rPr>
      <t>Employee</t>
    </r>
    <r>
      <rPr>
        <sz val="11"/>
        <color theme="1"/>
        <rFont val="Calibri"/>
        <family val="2"/>
        <scheme val="minor"/>
      </rPr>
      <t>] not [</t>
    </r>
    <r>
      <rPr>
        <b/>
        <sz val="11"/>
        <color theme="1"/>
        <rFont val="Calibri"/>
        <family val="2"/>
        <scheme val="minor"/>
      </rPr>
      <t>Employees</t>
    </r>
    <r>
      <rPr>
        <sz val="11"/>
        <color theme="1"/>
        <rFont val="Calibri"/>
        <family val="2"/>
        <scheme val="minor"/>
      </rPr>
      <t>]</t>
    </r>
  </si>
  <si>
    <t>Num Tests</t>
  </si>
  <si>
    <t>Percentage
Failed</t>
  </si>
  <si>
    <t>Percentage 
QPs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</si>
</sst>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4" borderId="0" xfId="0" applyFill="1" applyAlignment="1"/>
    <xf numFmtId="0" fontId="0" fillId="4" borderId="0" xfId="0" applyFill="1" applyAlignment="1">
      <alignment horizontal="left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left"/>
    </xf>
    <xf numFmtId="0" fontId="0" fillId="6" borderId="0" xfId="0" applyFill="1" applyAlignment="1">
      <alignment horizontal="center"/>
    </xf>
    <xf numFmtId="0" fontId="0" fillId="6" borderId="0" xfId="0" applyFill="1" applyAlignment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left"/>
    </xf>
    <xf numFmtId="0" fontId="2" fillId="9" borderId="0" xfId="0" applyFont="1" applyFill="1" applyAlignment="1"/>
    <xf numFmtId="0" fontId="2" fillId="9" borderId="0" xfId="0" applyFont="1" applyFill="1" applyAlignment="1">
      <alignment horizontal="left"/>
    </xf>
    <xf numFmtId="0" fontId="2" fillId="9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left"/>
    </xf>
    <xf numFmtId="0" fontId="2" fillId="10" borderId="0" xfId="0" applyFont="1" applyFill="1" applyAlignment="1"/>
    <xf numFmtId="0" fontId="2" fillId="10" borderId="0" xfId="0" applyFont="1" applyFill="1" applyAlignment="1">
      <alignment horizontal="left"/>
    </xf>
    <xf numFmtId="0" fontId="2" fillId="10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0" fontId="4" fillId="2" borderId="0" xfId="0" applyFont="1" applyFill="1" applyAlignment="1">
      <alignment horizontal="left"/>
    </xf>
    <xf numFmtId="0" fontId="4" fillId="2" borderId="0" xfId="0" applyFont="1" applyFill="1" applyAlignment="1">
      <alignment horizontal="center"/>
    </xf>
    <xf numFmtId="1" fontId="4" fillId="2" borderId="0" xfId="0" applyNumberFormat="1" applyFont="1" applyFill="1" applyAlignment="1">
      <alignment horizontal="center"/>
    </xf>
    <xf numFmtId="0" fontId="0" fillId="4" borderId="0" xfId="0" applyFill="1" applyAlignment="1">
      <alignment horizontal="left"/>
    </xf>
    <xf numFmtId="0" fontId="2" fillId="3" borderId="0" xfId="0" applyFont="1" applyFill="1" applyAlignment="1">
      <alignment horizontal="center" vertical="top" wrapText="1"/>
    </xf>
    <xf numFmtId="0" fontId="0" fillId="7" borderId="0" xfId="0" applyFill="1" applyAlignment="1"/>
    <xf numFmtId="0" fontId="0" fillId="5" borderId="0" xfId="0" applyFill="1" applyAlignment="1"/>
    <xf numFmtId="0" fontId="0" fillId="6" borderId="0" xfId="0" applyFill="1" applyAlignment="1">
      <alignment horizontal="left"/>
    </xf>
    <xf numFmtId="0" fontId="0" fillId="8" borderId="0" xfId="0" applyFill="1" applyAlignment="1"/>
    <xf numFmtId="0" fontId="0" fillId="7" borderId="0" xfId="0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0" fillId="6" borderId="0" xfId="0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3" fillId="10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top"/>
    </xf>
    <xf numFmtId="0" fontId="2" fillId="3" borderId="0" xfId="0" applyFont="1" applyFill="1" applyAlignment="1">
      <alignment horizontal="left" vertical="top"/>
    </xf>
    <xf numFmtId="0" fontId="3" fillId="3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39"/>
  <sheetViews>
    <sheetView tabSelected="1" workbookViewId="0">
      <pane ySplit="6" topLeftCell="A7" activePane="bottomLeft" state="frozen"/>
      <selection pane="bottomLeft" activeCell="H18" sqref="H18"/>
    </sheetView>
  </sheetViews>
  <sheetFormatPr defaultRowHeight="14.5" x14ac:dyDescent="0.35"/>
  <cols>
    <col min="1" max="1" width="30.1796875" style="1" customWidth="1"/>
    <col min="2" max="2" width="41.7265625" style="1" bestFit="1" customWidth="1"/>
    <col min="3" max="3" width="13.36328125" style="1" bestFit="1" customWidth="1"/>
    <col min="4" max="4" width="31.54296875" style="1" customWidth="1"/>
    <col min="5" max="5" width="8.6328125" style="2" bestFit="1" customWidth="1"/>
    <col min="6" max="6" width="18.26953125" style="1" bestFit="1" customWidth="1"/>
    <col min="7" max="7" width="8.54296875" style="2" bestFit="1" customWidth="1"/>
    <col min="8" max="8" width="11.08984375" style="2" bestFit="1" customWidth="1"/>
    <col min="9" max="9" width="11.08984375" style="2" customWidth="1"/>
    <col min="10" max="10" width="20.81640625" style="1" customWidth="1"/>
    <col min="11" max="11" width="15.54296875" style="1" customWidth="1"/>
    <col min="12" max="12" width="11.81640625" style="2" customWidth="1"/>
    <col min="13" max="14" width="9" style="1" customWidth="1"/>
    <col min="15" max="15" width="32.453125" style="1" customWidth="1"/>
    <col min="16" max="16" width="3.26953125" style="1" bestFit="1" customWidth="1"/>
    <col min="17" max="17" width="4.81640625" style="1" bestFit="1" customWidth="1"/>
    <col min="18" max="18" width="4.08984375" style="1" bestFit="1" customWidth="1"/>
    <col min="19" max="19" width="4.81640625" style="1" bestFit="1" customWidth="1"/>
    <col min="20" max="20" width="5.7265625" style="1" bestFit="1" customWidth="1"/>
    <col min="21" max="21" width="4.81640625" style="1" bestFit="1" customWidth="1"/>
    <col min="22" max="22" width="6.54296875" style="1" bestFit="1" customWidth="1"/>
    <col min="23" max="23" width="4.81640625" style="1" bestFit="1" customWidth="1"/>
    <col min="24" max="24" width="7.26953125" style="1" bestFit="1" customWidth="1"/>
    <col min="25" max="25" width="5.90625" style="1" bestFit="1" customWidth="1"/>
    <col min="26" max="26" width="9.54296875" style="1" bestFit="1" customWidth="1"/>
    <col min="27" max="16384" width="8.7265625" style="1"/>
  </cols>
  <sheetData>
    <row r="1" spans="1:15" x14ac:dyDescent="0.35">
      <c r="A1" s="42" t="str">
        <f>CONCATENATE("Test Run Summary: ", $B$6)</f>
        <v>Test Run Summary: Top Right Nav Bar (All)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</row>
    <row r="2" spans="1:15" ht="14.5" customHeight="1" x14ac:dyDescent="0.3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</row>
    <row r="3" spans="1:15" ht="15.5" customHeight="1" x14ac:dyDescent="0.3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</row>
    <row r="4" spans="1:15" ht="15.5" customHeight="1" x14ac:dyDescent="0.35">
      <c r="A4" s="41" t="s">
        <v>10</v>
      </c>
      <c r="B4" s="41" t="s">
        <v>11</v>
      </c>
      <c r="C4" s="40" t="s">
        <v>17</v>
      </c>
      <c r="D4" s="41" t="s">
        <v>12</v>
      </c>
      <c r="E4" s="40" t="s">
        <v>13</v>
      </c>
      <c r="F4" s="41" t="s">
        <v>14</v>
      </c>
      <c r="G4" s="29" t="s">
        <v>94</v>
      </c>
      <c r="H4" s="29" t="s">
        <v>3</v>
      </c>
      <c r="I4" s="29" t="s">
        <v>95</v>
      </c>
      <c r="J4" s="29" t="s">
        <v>4</v>
      </c>
      <c r="K4" s="29" t="s">
        <v>31</v>
      </c>
      <c r="L4" s="29" t="s">
        <v>96</v>
      </c>
      <c r="M4" s="29" t="s">
        <v>5</v>
      </c>
      <c r="N4" s="29" t="s">
        <v>19</v>
      </c>
      <c r="O4" s="41" t="s">
        <v>15</v>
      </c>
    </row>
    <row r="5" spans="1:15" ht="15.5" customHeight="1" x14ac:dyDescent="0.35">
      <c r="A5" s="41"/>
      <c r="B5" s="41"/>
      <c r="C5" s="40"/>
      <c r="D5" s="41"/>
      <c r="E5" s="40"/>
      <c r="F5" s="41"/>
      <c r="G5" s="40"/>
      <c r="H5" s="40"/>
      <c r="I5" s="29"/>
      <c r="J5" s="40"/>
      <c r="K5" s="29"/>
      <c r="L5" s="29"/>
      <c r="M5" s="40"/>
      <c r="N5" s="40"/>
      <c r="O5" s="41"/>
    </row>
    <row r="6" spans="1:15" ht="15.5" x14ac:dyDescent="0.35">
      <c r="A6" s="25">
        <v>3</v>
      </c>
      <c r="B6" s="25" t="s">
        <v>9</v>
      </c>
      <c r="C6" s="26" t="s">
        <v>18</v>
      </c>
      <c r="D6" s="25" t="s">
        <v>6</v>
      </c>
      <c r="E6" s="26" t="s">
        <v>16</v>
      </c>
      <c r="F6" s="25" t="s">
        <v>7</v>
      </c>
      <c r="G6" s="26">
        <v>229</v>
      </c>
      <c r="H6" s="26">
        <v>9</v>
      </c>
      <c r="I6" s="27">
        <f>(H6/((G6-M6)/100))</f>
        <v>4.2056074766355138</v>
      </c>
      <c r="J6" s="26">
        <v>190</v>
      </c>
      <c r="K6" s="26">
        <v>15</v>
      </c>
      <c r="L6" s="27">
        <f>(K6/(G6-M6))*100</f>
        <v>7.009345794392523</v>
      </c>
      <c r="M6" s="26">
        <v>15</v>
      </c>
      <c r="N6" s="26">
        <v>2</v>
      </c>
      <c r="O6" s="25" t="s">
        <v>8</v>
      </c>
    </row>
    <row r="8" spans="1:15" ht="18.5" customHeight="1" x14ac:dyDescent="0.35">
      <c r="A8" s="38" t="s">
        <v>53</v>
      </c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20"/>
      <c r="N8" s="20"/>
      <c r="O8" s="20"/>
    </row>
    <row r="9" spans="1:15" ht="18.5" customHeight="1" x14ac:dyDescent="0.3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20"/>
      <c r="N9" s="20"/>
      <c r="O9" s="20"/>
    </row>
    <row r="10" spans="1:15" ht="15.5" x14ac:dyDescent="0.35">
      <c r="A10" s="21" t="s">
        <v>45</v>
      </c>
      <c r="B10" s="22" t="s">
        <v>0</v>
      </c>
      <c r="C10" s="22" t="s">
        <v>46</v>
      </c>
      <c r="D10" s="22" t="s">
        <v>47</v>
      </c>
      <c r="E10" s="23" t="s">
        <v>48</v>
      </c>
      <c r="F10" s="22" t="s">
        <v>49</v>
      </c>
      <c r="G10" s="23" t="s">
        <v>1</v>
      </c>
      <c r="H10" s="23" t="s">
        <v>50</v>
      </c>
      <c r="I10" s="23"/>
      <c r="J10" s="22" t="s">
        <v>2</v>
      </c>
      <c r="K10" s="22"/>
      <c r="L10" s="24"/>
      <c r="M10" s="20"/>
      <c r="N10" s="20"/>
      <c r="O10" s="23" t="s">
        <v>51</v>
      </c>
    </row>
    <row r="11" spans="1:15" x14ac:dyDescent="0.35">
      <c r="A11" s="3" t="s">
        <v>20</v>
      </c>
      <c r="B11" s="4" t="s">
        <v>21</v>
      </c>
      <c r="C11" s="4" t="s">
        <v>32</v>
      </c>
      <c r="D11" s="4" t="s">
        <v>33</v>
      </c>
      <c r="E11" s="5">
        <v>65</v>
      </c>
      <c r="F11" s="4" t="s">
        <v>34</v>
      </c>
      <c r="G11" s="5" t="s">
        <v>35</v>
      </c>
      <c r="H11" s="5">
        <v>2</v>
      </c>
      <c r="I11" s="5"/>
      <c r="J11" s="28" t="s">
        <v>52</v>
      </c>
      <c r="K11" s="28"/>
      <c r="L11" s="28"/>
      <c r="M11" s="28"/>
      <c r="N11" s="28"/>
      <c r="O11" s="5">
        <v>17</v>
      </c>
    </row>
    <row r="12" spans="1:15" x14ac:dyDescent="0.35">
      <c r="A12" s="36" t="s">
        <v>21</v>
      </c>
      <c r="B12" s="8" t="s">
        <v>54</v>
      </c>
      <c r="C12" s="8" t="s">
        <v>32</v>
      </c>
      <c r="D12" s="8" t="s">
        <v>41</v>
      </c>
      <c r="E12" s="9">
        <v>80</v>
      </c>
      <c r="F12" s="8" t="s">
        <v>34</v>
      </c>
      <c r="G12" s="9" t="s">
        <v>35</v>
      </c>
      <c r="H12" s="9">
        <v>2</v>
      </c>
      <c r="I12" s="9"/>
      <c r="J12" s="32" t="s">
        <v>90</v>
      </c>
      <c r="K12" s="32"/>
      <c r="L12" s="32"/>
      <c r="M12" s="32"/>
      <c r="N12" s="32"/>
      <c r="O12" s="9">
        <v>106</v>
      </c>
    </row>
    <row r="13" spans="1:15" x14ac:dyDescent="0.35">
      <c r="A13" s="36"/>
      <c r="B13" s="8" t="s">
        <v>27</v>
      </c>
      <c r="C13" s="8" t="s">
        <v>32</v>
      </c>
      <c r="D13" s="8" t="s">
        <v>36</v>
      </c>
      <c r="E13" s="9">
        <v>106</v>
      </c>
      <c r="F13" s="8" t="s">
        <v>34</v>
      </c>
      <c r="G13" s="9" t="s">
        <v>35</v>
      </c>
      <c r="H13" s="9">
        <v>2</v>
      </c>
      <c r="I13" s="9"/>
      <c r="J13" s="32" t="s">
        <v>91</v>
      </c>
      <c r="K13" s="32"/>
      <c r="L13" s="32"/>
      <c r="M13" s="32"/>
      <c r="N13" s="32"/>
      <c r="O13" s="9">
        <v>96</v>
      </c>
    </row>
    <row r="14" spans="1:15" x14ac:dyDescent="0.35">
      <c r="A14" s="37" t="s">
        <v>27</v>
      </c>
      <c r="B14" s="4" t="s">
        <v>29</v>
      </c>
      <c r="C14" s="4" t="s">
        <v>32</v>
      </c>
      <c r="D14" s="4" t="s">
        <v>37</v>
      </c>
      <c r="E14" s="5">
        <v>186</v>
      </c>
      <c r="F14" s="4" t="s">
        <v>38</v>
      </c>
      <c r="G14" s="5" t="s">
        <v>35</v>
      </c>
      <c r="H14" s="5">
        <v>2</v>
      </c>
      <c r="I14" s="5"/>
      <c r="J14" s="28" t="s">
        <v>92</v>
      </c>
      <c r="K14" s="28"/>
      <c r="L14" s="28"/>
      <c r="M14" s="28"/>
      <c r="N14" s="28"/>
      <c r="O14" s="5">
        <v>97</v>
      </c>
    </row>
    <row r="15" spans="1:15" x14ac:dyDescent="0.35">
      <c r="A15" s="37"/>
      <c r="B15" s="4" t="s">
        <v>30</v>
      </c>
      <c r="C15" s="4" t="s">
        <v>32</v>
      </c>
      <c r="D15" s="4" t="s">
        <v>39</v>
      </c>
      <c r="E15" s="5">
        <v>187</v>
      </c>
      <c r="F15" s="4" t="s">
        <v>38</v>
      </c>
      <c r="G15" s="5" t="s">
        <v>35</v>
      </c>
      <c r="H15" s="5">
        <v>2</v>
      </c>
      <c r="I15" s="5"/>
      <c r="J15" s="28" t="s">
        <v>92</v>
      </c>
      <c r="K15" s="28"/>
      <c r="L15" s="28"/>
      <c r="M15" s="28"/>
      <c r="N15" s="28"/>
      <c r="O15" s="5">
        <v>98</v>
      </c>
    </row>
    <row r="16" spans="1:15" x14ac:dyDescent="0.35">
      <c r="A16" s="37"/>
      <c r="B16" s="4" t="s">
        <v>55</v>
      </c>
      <c r="C16" s="4" t="s">
        <v>32</v>
      </c>
      <c r="D16" s="4" t="s">
        <v>40</v>
      </c>
      <c r="E16" s="5">
        <v>189</v>
      </c>
      <c r="F16" s="4" t="s">
        <v>38</v>
      </c>
      <c r="G16" s="5" t="s">
        <v>35</v>
      </c>
      <c r="H16" s="5">
        <v>2</v>
      </c>
      <c r="I16" s="5"/>
      <c r="J16" s="28" t="s">
        <v>90</v>
      </c>
      <c r="K16" s="28"/>
      <c r="L16" s="28"/>
      <c r="M16" s="28"/>
      <c r="N16" s="28"/>
      <c r="O16" s="5">
        <v>100</v>
      </c>
    </row>
    <row r="17" spans="1:15" x14ac:dyDescent="0.35">
      <c r="A17" s="10" t="s">
        <v>20</v>
      </c>
      <c r="B17" s="8" t="s">
        <v>22</v>
      </c>
      <c r="C17" s="8" t="s">
        <v>32</v>
      </c>
      <c r="D17" s="8" t="s">
        <v>42</v>
      </c>
      <c r="E17" s="9">
        <v>66</v>
      </c>
      <c r="F17" s="8" t="s">
        <v>34</v>
      </c>
      <c r="G17" s="9" t="s">
        <v>35</v>
      </c>
      <c r="H17" s="9">
        <v>5</v>
      </c>
      <c r="I17" s="9"/>
      <c r="J17" s="32" t="s">
        <v>90</v>
      </c>
      <c r="K17" s="32"/>
      <c r="L17" s="32"/>
      <c r="M17" s="32"/>
      <c r="N17" s="32"/>
      <c r="O17" s="9">
        <v>18</v>
      </c>
    </row>
    <row r="18" spans="1:15" x14ac:dyDescent="0.35">
      <c r="A18" s="37" t="s">
        <v>22</v>
      </c>
      <c r="B18" s="4" t="s">
        <v>56</v>
      </c>
      <c r="C18" s="4" t="s">
        <v>32</v>
      </c>
      <c r="D18" s="4" t="s">
        <v>43</v>
      </c>
      <c r="E18" s="5">
        <v>81</v>
      </c>
      <c r="F18" s="4" t="s">
        <v>34</v>
      </c>
      <c r="G18" s="5" t="s">
        <v>35</v>
      </c>
      <c r="H18" s="5">
        <v>5</v>
      </c>
      <c r="I18" s="5"/>
      <c r="J18" s="28" t="s">
        <v>90</v>
      </c>
      <c r="K18" s="28"/>
      <c r="L18" s="28"/>
      <c r="M18" s="28"/>
      <c r="N18" s="28"/>
      <c r="O18" s="5">
        <v>108</v>
      </c>
    </row>
    <row r="19" spans="1:15" x14ac:dyDescent="0.35">
      <c r="A19" s="37"/>
      <c r="B19" s="4" t="s">
        <v>28</v>
      </c>
      <c r="C19" s="4" t="s">
        <v>32</v>
      </c>
      <c r="D19" s="4" t="s">
        <v>44</v>
      </c>
      <c r="E19" s="5">
        <v>112</v>
      </c>
      <c r="F19" s="4" t="s">
        <v>34</v>
      </c>
      <c r="G19" s="5" t="s">
        <v>35</v>
      </c>
      <c r="H19" s="5">
        <v>5</v>
      </c>
      <c r="I19" s="5"/>
      <c r="J19" s="28" t="s">
        <v>93</v>
      </c>
      <c r="K19" s="28"/>
      <c r="L19" s="28"/>
      <c r="M19" s="28"/>
      <c r="N19" s="28"/>
      <c r="O19" s="5">
        <v>114</v>
      </c>
    </row>
    <row r="21" spans="1:15" x14ac:dyDescent="0.35">
      <c r="A21" s="39" t="s">
        <v>57</v>
      </c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15"/>
      <c r="N21" s="15"/>
      <c r="O21" s="15"/>
    </row>
    <row r="22" spans="1:15" x14ac:dyDescent="0.35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15"/>
      <c r="N22" s="15"/>
      <c r="O22" s="15"/>
    </row>
    <row r="23" spans="1:15" ht="15.5" x14ac:dyDescent="0.35">
      <c r="A23" s="16" t="s">
        <v>45</v>
      </c>
      <c r="B23" s="17" t="s">
        <v>0</v>
      </c>
      <c r="C23" s="17" t="s">
        <v>46</v>
      </c>
      <c r="D23" s="17" t="s">
        <v>47</v>
      </c>
      <c r="E23" s="18" t="s">
        <v>48</v>
      </c>
      <c r="F23" s="17" t="s">
        <v>49</v>
      </c>
      <c r="G23" s="18" t="s">
        <v>1</v>
      </c>
      <c r="H23" s="18" t="s">
        <v>50</v>
      </c>
      <c r="I23" s="18"/>
      <c r="J23" s="17" t="s">
        <v>2</v>
      </c>
      <c r="K23" s="17"/>
      <c r="L23" s="19"/>
      <c r="M23" s="15"/>
      <c r="N23" s="15"/>
      <c r="O23" s="18" t="s">
        <v>51</v>
      </c>
    </row>
    <row r="24" spans="1:15" x14ac:dyDescent="0.35">
      <c r="A24" s="13" t="s">
        <v>58</v>
      </c>
      <c r="B24" s="13" t="s">
        <v>60</v>
      </c>
      <c r="C24" s="13" t="s">
        <v>32</v>
      </c>
      <c r="D24" s="13" t="s">
        <v>61</v>
      </c>
      <c r="E24" s="14">
        <v>63</v>
      </c>
      <c r="F24" s="13" t="s">
        <v>34</v>
      </c>
      <c r="G24" s="14" t="s">
        <v>62</v>
      </c>
      <c r="H24" s="14" t="s">
        <v>59</v>
      </c>
      <c r="I24" s="14"/>
      <c r="J24" s="33" t="s">
        <v>75</v>
      </c>
      <c r="K24" s="33"/>
      <c r="L24" s="33"/>
      <c r="M24" s="33"/>
      <c r="N24" s="33"/>
      <c r="O24" s="14">
        <v>15</v>
      </c>
    </row>
    <row r="25" spans="1:15" x14ac:dyDescent="0.35">
      <c r="A25" s="34" t="s">
        <v>21</v>
      </c>
      <c r="B25" s="11" t="s">
        <v>63</v>
      </c>
      <c r="C25" s="11" t="s">
        <v>32</v>
      </c>
      <c r="D25" s="11" t="s">
        <v>61</v>
      </c>
      <c r="E25" s="12">
        <v>102</v>
      </c>
      <c r="F25" s="11" t="s">
        <v>34</v>
      </c>
      <c r="G25" s="12" t="s">
        <v>62</v>
      </c>
      <c r="H25" s="12" t="s">
        <v>59</v>
      </c>
      <c r="I25" s="12"/>
      <c r="J25" s="30" t="s">
        <v>76</v>
      </c>
      <c r="K25" s="30"/>
      <c r="L25" s="30"/>
      <c r="M25" s="30"/>
      <c r="N25" s="30"/>
      <c r="O25" s="12">
        <v>49</v>
      </c>
    </row>
    <row r="26" spans="1:15" x14ac:dyDescent="0.35">
      <c r="A26" s="34"/>
      <c r="B26" s="11" t="s">
        <v>66</v>
      </c>
      <c r="C26" s="11" t="s">
        <v>32</v>
      </c>
      <c r="D26" s="11" t="s">
        <v>61</v>
      </c>
      <c r="E26" s="12">
        <v>103</v>
      </c>
      <c r="F26" s="11" t="s">
        <v>34</v>
      </c>
      <c r="G26" s="12" t="s">
        <v>62</v>
      </c>
      <c r="H26" s="12" t="s">
        <v>59</v>
      </c>
      <c r="I26" s="12"/>
      <c r="J26" s="30" t="s">
        <v>76</v>
      </c>
      <c r="K26" s="30"/>
      <c r="L26" s="30"/>
      <c r="M26" s="30"/>
      <c r="N26" s="30"/>
      <c r="O26" s="12">
        <v>61</v>
      </c>
    </row>
    <row r="27" spans="1:15" x14ac:dyDescent="0.35">
      <c r="A27" s="34"/>
      <c r="B27" s="11" t="s">
        <v>71</v>
      </c>
      <c r="C27" s="11" t="s">
        <v>32</v>
      </c>
      <c r="D27" s="11" t="s">
        <v>61</v>
      </c>
      <c r="E27" s="12">
        <v>104</v>
      </c>
      <c r="F27" s="11" t="s">
        <v>34</v>
      </c>
      <c r="G27" s="12" t="s">
        <v>62</v>
      </c>
      <c r="H27" s="12" t="s">
        <v>59</v>
      </c>
      <c r="I27" s="12"/>
      <c r="J27" s="30" t="s">
        <v>76</v>
      </c>
      <c r="K27" s="30"/>
      <c r="L27" s="30"/>
      <c r="M27" s="30"/>
      <c r="N27" s="30"/>
      <c r="O27" s="12">
        <v>73</v>
      </c>
    </row>
    <row r="28" spans="1:15" x14ac:dyDescent="0.35">
      <c r="A28" s="34"/>
      <c r="B28" s="11" t="s">
        <v>72</v>
      </c>
      <c r="C28" s="11" t="s">
        <v>32</v>
      </c>
      <c r="D28" s="11" t="s">
        <v>61</v>
      </c>
      <c r="E28" s="12">
        <v>105</v>
      </c>
      <c r="F28" s="11" t="s">
        <v>34</v>
      </c>
      <c r="G28" s="12" t="s">
        <v>62</v>
      </c>
      <c r="H28" s="12" t="s">
        <v>59</v>
      </c>
      <c r="I28" s="12"/>
      <c r="J28" s="30" t="s">
        <v>76</v>
      </c>
      <c r="K28" s="30"/>
      <c r="L28" s="30"/>
      <c r="M28" s="30"/>
      <c r="N28" s="30"/>
      <c r="O28" s="12">
        <v>86</v>
      </c>
    </row>
    <row r="29" spans="1:15" x14ac:dyDescent="0.35">
      <c r="A29" s="35" t="s">
        <v>23</v>
      </c>
      <c r="B29" s="13" t="s">
        <v>64</v>
      </c>
      <c r="C29" s="13" t="s">
        <v>32</v>
      </c>
      <c r="D29" s="13" t="s">
        <v>61</v>
      </c>
      <c r="E29" s="14">
        <v>141</v>
      </c>
      <c r="F29" s="13" t="s">
        <v>34</v>
      </c>
      <c r="G29" s="14" t="s">
        <v>62</v>
      </c>
      <c r="H29" s="14" t="s">
        <v>59</v>
      </c>
      <c r="I29" s="14"/>
      <c r="J29" s="33" t="s">
        <v>77</v>
      </c>
      <c r="K29" s="33"/>
      <c r="L29" s="33"/>
      <c r="M29" s="33"/>
      <c r="N29" s="33"/>
      <c r="O29" s="14">
        <v>52</v>
      </c>
    </row>
    <row r="30" spans="1:15" x14ac:dyDescent="0.35">
      <c r="A30" s="35"/>
      <c r="B30" s="13" t="s">
        <v>65</v>
      </c>
      <c r="C30" s="13" t="s">
        <v>32</v>
      </c>
      <c r="D30" s="13" t="s">
        <v>61</v>
      </c>
      <c r="E30" s="14">
        <v>142</v>
      </c>
      <c r="F30" s="13" t="s">
        <v>34</v>
      </c>
      <c r="G30" s="14" t="s">
        <v>62</v>
      </c>
      <c r="H30" s="14" t="s">
        <v>59</v>
      </c>
      <c r="I30" s="14"/>
      <c r="J30" s="33" t="s">
        <v>78</v>
      </c>
      <c r="K30" s="33"/>
      <c r="L30" s="33"/>
      <c r="M30" s="33"/>
      <c r="N30" s="33"/>
      <c r="O30" s="14">
        <v>53</v>
      </c>
    </row>
    <row r="31" spans="1:15" x14ac:dyDescent="0.35">
      <c r="A31" s="34" t="s">
        <v>24</v>
      </c>
      <c r="B31" s="11" t="s">
        <v>67</v>
      </c>
      <c r="C31" s="11" t="s">
        <v>32</v>
      </c>
      <c r="D31" s="11" t="s">
        <v>61</v>
      </c>
      <c r="E31" s="12">
        <v>152</v>
      </c>
      <c r="F31" s="11" t="s">
        <v>34</v>
      </c>
      <c r="G31" s="12" t="s">
        <v>62</v>
      </c>
      <c r="H31" s="12" t="s">
        <v>59</v>
      </c>
      <c r="I31" s="12"/>
      <c r="J31" s="30" t="s">
        <v>79</v>
      </c>
      <c r="K31" s="30"/>
      <c r="L31" s="30"/>
      <c r="M31" s="30"/>
      <c r="N31" s="30"/>
      <c r="O31" s="12">
        <v>63</v>
      </c>
    </row>
    <row r="32" spans="1:15" x14ac:dyDescent="0.35">
      <c r="A32" s="34"/>
      <c r="B32" s="11" t="s">
        <v>68</v>
      </c>
      <c r="C32" s="11" t="s">
        <v>32</v>
      </c>
      <c r="D32" s="11" t="s">
        <v>61</v>
      </c>
      <c r="E32" s="12">
        <v>154</v>
      </c>
      <c r="F32" s="11" t="s">
        <v>38</v>
      </c>
      <c r="G32" s="12" t="s">
        <v>62</v>
      </c>
      <c r="H32" s="12" t="s">
        <v>59</v>
      </c>
      <c r="I32" s="12"/>
      <c r="J32" s="30" t="s">
        <v>80</v>
      </c>
      <c r="K32" s="30"/>
      <c r="L32" s="30"/>
      <c r="M32" s="30"/>
      <c r="N32" s="30"/>
      <c r="O32" s="12">
        <v>65</v>
      </c>
    </row>
    <row r="33" spans="1:15" x14ac:dyDescent="0.35">
      <c r="A33" s="34"/>
      <c r="B33" s="11" t="s">
        <v>69</v>
      </c>
      <c r="C33" s="11" t="s">
        <v>32</v>
      </c>
      <c r="D33" s="11" t="s">
        <v>61</v>
      </c>
      <c r="E33" s="12">
        <v>155</v>
      </c>
      <c r="F33" s="11" t="s">
        <v>38</v>
      </c>
      <c r="G33" s="12" t="s">
        <v>62</v>
      </c>
      <c r="H33" s="12" t="s">
        <v>59</v>
      </c>
      <c r="I33" s="12"/>
      <c r="J33" s="30" t="s">
        <v>81</v>
      </c>
      <c r="K33" s="30"/>
      <c r="L33" s="30"/>
      <c r="M33" s="30"/>
      <c r="N33" s="30"/>
      <c r="O33" s="12">
        <v>66</v>
      </c>
    </row>
    <row r="34" spans="1:15" x14ac:dyDescent="0.35">
      <c r="A34" s="34"/>
      <c r="B34" s="11" t="s">
        <v>70</v>
      </c>
      <c r="C34" s="11" t="s">
        <v>32</v>
      </c>
      <c r="D34" s="11" t="s">
        <v>61</v>
      </c>
      <c r="E34" s="12">
        <v>158</v>
      </c>
      <c r="F34" s="11" t="s">
        <v>38</v>
      </c>
      <c r="G34" s="12" t="s">
        <v>62</v>
      </c>
      <c r="H34" s="12" t="s">
        <v>59</v>
      </c>
      <c r="I34" s="12"/>
      <c r="J34" s="30" t="s">
        <v>82</v>
      </c>
      <c r="K34" s="30"/>
      <c r="L34" s="30"/>
      <c r="M34" s="30"/>
      <c r="N34" s="30"/>
      <c r="O34" s="12">
        <v>69</v>
      </c>
    </row>
    <row r="35" spans="1:15" x14ac:dyDescent="0.35">
      <c r="A35" s="13" t="s">
        <v>25</v>
      </c>
      <c r="B35" s="13" t="s">
        <v>87</v>
      </c>
      <c r="C35" s="13" t="s">
        <v>32</v>
      </c>
      <c r="D35" s="13" t="s">
        <v>88</v>
      </c>
      <c r="E35" s="14">
        <v>166</v>
      </c>
      <c r="F35" s="13" t="s">
        <v>38</v>
      </c>
      <c r="G35" s="14" t="s">
        <v>62</v>
      </c>
      <c r="H35" s="14" t="s">
        <v>59</v>
      </c>
      <c r="I35" s="14"/>
      <c r="J35" s="33" t="s">
        <v>89</v>
      </c>
      <c r="K35" s="33"/>
      <c r="L35" s="33"/>
      <c r="M35" s="33"/>
      <c r="N35" s="33"/>
      <c r="O35" s="14">
        <v>77</v>
      </c>
    </row>
    <row r="36" spans="1:15" x14ac:dyDescent="0.35">
      <c r="A36" s="34" t="s">
        <v>26</v>
      </c>
      <c r="B36" s="11" t="s">
        <v>73</v>
      </c>
      <c r="C36" s="11" t="s">
        <v>32</v>
      </c>
      <c r="D36" s="11" t="s">
        <v>61</v>
      </c>
      <c r="E36" s="12">
        <v>177</v>
      </c>
      <c r="F36" s="11" t="s">
        <v>38</v>
      </c>
      <c r="G36" s="12" t="s">
        <v>62</v>
      </c>
      <c r="H36" s="12" t="s">
        <v>59</v>
      </c>
      <c r="I36" s="12"/>
      <c r="J36" s="30" t="s">
        <v>83</v>
      </c>
      <c r="K36" s="30"/>
      <c r="L36" s="30"/>
      <c r="M36" s="30"/>
      <c r="N36" s="30"/>
      <c r="O36" s="12">
        <v>88</v>
      </c>
    </row>
    <row r="37" spans="1:15" x14ac:dyDescent="0.35">
      <c r="A37" s="34"/>
      <c r="B37" s="11" t="s">
        <v>73</v>
      </c>
      <c r="C37" s="11" t="s">
        <v>32</v>
      </c>
      <c r="D37" s="11" t="s">
        <v>61</v>
      </c>
      <c r="E37" s="12">
        <v>179</v>
      </c>
      <c r="F37" s="11" t="s">
        <v>38</v>
      </c>
      <c r="G37" s="12" t="s">
        <v>62</v>
      </c>
      <c r="H37" s="12" t="s">
        <v>59</v>
      </c>
      <c r="I37" s="12"/>
      <c r="J37" s="30" t="s">
        <v>84</v>
      </c>
      <c r="K37" s="30"/>
      <c r="L37" s="30"/>
      <c r="M37" s="30"/>
      <c r="N37" s="30"/>
      <c r="O37" s="12">
        <v>90</v>
      </c>
    </row>
    <row r="38" spans="1:15" x14ac:dyDescent="0.35">
      <c r="A38" s="34"/>
      <c r="B38" s="11" t="s">
        <v>73</v>
      </c>
      <c r="C38" s="11" t="s">
        <v>32</v>
      </c>
      <c r="D38" s="11" t="s">
        <v>61</v>
      </c>
      <c r="E38" s="12">
        <v>181</v>
      </c>
      <c r="F38" s="11" t="s">
        <v>38</v>
      </c>
      <c r="G38" s="12" t="s">
        <v>62</v>
      </c>
      <c r="H38" s="12" t="s">
        <v>59</v>
      </c>
      <c r="I38" s="12"/>
      <c r="J38" s="30" t="s">
        <v>85</v>
      </c>
      <c r="K38" s="30"/>
      <c r="L38" s="30"/>
      <c r="M38" s="30"/>
      <c r="N38" s="30"/>
      <c r="O38" s="12">
        <v>92</v>
      </c>
    </row>
    <row r="39" spans="1:15" x14ac:dyDescent="0.35">
      <c r="A39" s="6" t="s">
        <v>22</v>
      </c>
      <c r="B39" s="6" t="s">
        <v>74</v>
      </c>
      <c r="C39" s="6" t="s">
        <v>32</v>
      </c>
      <c r="D39" s="6" t="s">
        <v>61</v>
      </c>
      <c r="E39" s="7">
        <v>111</v>
      </c>
      <c r="F39" s="6" t="s">
        <v>34</v>
      </c>
      <c r="G39" s="7" t="s">
        <v>62</v>
      </c>
      <c r="H39" s="7" t="s">
        <v>59</v>
      </c>
      <c r="I39" s="7"/>
      <c r="J39" s="31" t="s">
        <v>86</v>
      </c>
      <c r="K39" s="31"/>
      <c r="L39" s="31"/>
      <c r="M39" s="31"/>
      <c r="N39" s="31"/>
      <c r="O39" s="7">
        <v>113</v>
      </c>
    </row>
  </sheetData>
  <mergeCells count="50">
    <mergeCell ref="O4:O5"/>
    <mergeCell ref="C4:C5"/>
    <mergeCell ref="N4:N5"/>
    <mergeCell ref="L4:L5"/>
    <mergeCell ref="A1:O3"/>
    <mergeCell ref="A4:A5"/>
    <mergeCell ref="B4:B5"/>
    <mergeCell ref="D4:D5"/>
    <mergeCell ref="E4:E5"/>
    <mergeCell ref="F4:F5"/>
    <mergeCell ref="G4:G5"/>
    <mergeCell ref="H4:H5"/>
    <mergeCell ref="J4:J5"/>
    <mergeCell ref="A12:A13"/>
    <mergeCell ref="A14:A16"/>
    <mergeCell ref="A18:A19"/>
    <mergeCell ref="A8:L9"/>
    <mergeCell ref="A21:L22"/>
    <mergeCell ref="J15:N15"/>
    <mergeCell ref="J16:N16"/>
    <mergeCell ref="J17:N17"/>
    <mergeCell ref="J18:N18"/>
    <mergeCell ref="A25:A28"/>
    <mergeCell ref="A29:A30"/>
    <mergeCell ref="A31:A34"/>
    <mergeCell ref="A36:A38"/>
    <mergeCell ref="J24:N24"/>
    <mergeCell ref="J25:N25"/>
    <mergeCell ref="J26:N26"/>
    <mergeCell ref="J27:N27"/>
    <mergeCell ref="J28:N28"/>
    <mergeCell ref="J29:N29"/>
    <mergeCell ref="J38:N38"/>
    <mergeCell ref="J39:N39"/>
    <mergeCell ref="J11:N11"/>
    <mergeCell ref="J12:N12"/>
    <mergeCell ref="J13:N13"/>
    <mergeCell ref="J14:N14"/>
    <mergeCell ref="J30:N30"/>
    <mergeCell ref="J31:N31"/>
    <mergeCell ref="J32:N32"/>
    <mergeCell ref="J33:N33"/>
    <mergeCell ref="J34:N34"/>
    <mergeCell ref="J35:N35"/>
    <mergeCell ref="J19:N19"/>
    <mergeCell ref="I4:I5"/>
    <mergeCell ref="K4:K5"/>
    <mergeCell ref="J36:N36"/>
    <mergeCell ref="J37:N37"/>
    <mergeCell ref="M4:M5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2021-05-27T04:41:07Z</dcterms:created>
  <dcterms:modified xsi:type="dcterms:W3CDTF">2021-06-02T08:52:33Z</dcterms:modified>
</cp:coreProperties>
</file>